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ehar Khan\Documents\"/>
    </mc:Choice>
  </mc:AlternateContent>
  <xr:revisionPtr revIDLastSave="0" documentId="8_{C3DAD65A-054A-4A11-868D-2D7F461A9C7A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20" l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 l="1"/>
  <c r="H42" i="1"/>
  <c r="C43" i="1" a="1"/>
  <c r="C4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<sst xmlns="http://schemas.openxmlformats.org/spreadsheetml/2006/main" count="386" uniqueCount="181">
  <si>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</si>
  <si>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</si>
  <si>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</si>
  <si>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</si>
  <si>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</si>
  <si>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</si>
  <si>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</si>
  <si>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</si>
  <si>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</si>
  <si>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</si>
  <si>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</si>
  <si>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</si>
  <si>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</si>
  <si>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</si>
  <si>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</si>
  <si>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</si>
  <si>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</si>
  <si>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</si>
  <si>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</si>
  <si>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</si>
  <si>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</si>
  <si>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</si>
  <si>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</si>
  <si>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</si>
  <si>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</si>
  <si>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</si>
  <si>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</si>
  <si>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</si>
  <si>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</si>
  <si>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</si>
  <si>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</si>
  <si>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</si>
  <si>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</si>
  <si>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</si>
  <si>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</si>
  <si>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</si>
  <si>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</si>
  <si>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</si>
  <si>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</si>
  <si>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</si>
  <si>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</si>
  <si>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</si>
  <si>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</si>
  <si>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</si>
  <si>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</si>
  <si>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</si>
  <si>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</si>
  <si>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</si>
  <si>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</si>
  <si>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</si>
  <si>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</si>
  <si>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</si>
  <si>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</si>
  <si>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</si>
  <si>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</si>
  <si>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</si>
  <si>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</si>
  <si>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</si>
  <si>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</si>
  <si>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</si>
  <si>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</si>
  <si>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</si>
  <si>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</si>
  <si>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</si>
  <si>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</si>
  <si>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</si>
  <si>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</si>
  <si>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</si>
  <si>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</si>
  <si>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</si>
  <si>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</si>
  <si>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</si>
  <si>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</si>
  <si>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</si>
  <si>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</si>
  <si>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</si>
  <si>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</si>
  <si>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</si>
  <si>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</si>
  <si>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</si>
  <si>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</si>
  <si>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</si>
  <si>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</si>
  <si>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</si>
  <si>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</si>
  <si>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</si>
  <si>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</si>
  <si>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</si>
  <si>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</si>
  <si>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</si>
  <si>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</si>
  <si>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</si>
  <si>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</si>
  <si>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</si>
  <si>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</si>
  <si>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</si>
  <si>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</si>
  <si>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</si>
  <si>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</si>
  <si>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</si>
  <si>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</si>
  <si>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</si>
  <si>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</si>
  <si>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</si>
  <si>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</si>
  <si>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</si>
  <si>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</si>
  <si>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</si>
  <si>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</si>
  <si>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</si>
  <si>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</si>
  <si>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</si>
  <si>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</si>
  <si>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</si>
  <si>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</si>
  <si>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</si>
  <si>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</si>
  <si>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</si>
  <si>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</si>
  <si>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</si>
  <si>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</si>
  <si>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</si>
  <si>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</si>
  <si>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</si>
  <si>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</si>
  <si>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</si>
  <si>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</si>
  <si>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</si>
  <si>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</si>
  <si>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</si>
  <si>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</si>
  <si>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</si>
  <si>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</si>
  <si>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</si>
  <si>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</si>
  <si>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</si>
  <si>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</si>
  <si>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</si>
  <si>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</si>
  <si>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</si>
  <si>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</si>
  <si>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</si>
  <si>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</si>
  <si>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</si>
  <si>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</si>
  <si>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</si>
  <si>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</si>
  <si>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</si>
  <si>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</si>
  <si>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</si>
  <si>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</si>
  <si>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</si>
  <si>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</si>
  <si>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</si>
  <si>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</si>
  <si>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</si>
  <si>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</si>
  <si>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</si>
  <si>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</si>
  <si>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</si>
  <si>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</si>
  <si>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</si>
  <si>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</si>
  <si>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</si>
  <si>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</si>
  <si>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</si>
  <si>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</si>
  <si>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</si>
  <si>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</si>
  <si>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</si>
  <si>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</si>
  <si>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</si>
  <si>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</si>
  <si>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</si>
  <si>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</si>
  <si>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</si>
  <si>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</si>
  <si>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SUMIF(H1:H40,"&gt;20")</t>
  </si>
  <si>
    <t>IN FIND AND SEARCH I HAVE REPLACED ALL NA WITH 20</t>
  </si>
  <si>
    <t>INDEX($B$9:$J$17,MATCH(A22,$A$9:$A$17,0),MATCH(B22,$B$8:$J$8,0))</t>
  </si>
  <si>
    <t>first I have paste the data from table B to table A in vdrtically I have pasted directly and in horizontal I have pasted using special paste function that is transpose than I have used index and match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</si>
</sst>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4" fillId="0" borderId="2" xfId="6" applyFont="1" applyBorder="1"/>
    <xf numFmtId="0" fontId="4" fillId="0" borderId="4" xfId="6" applyFont="1" applyBorder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F6B47DFE-3552-4418-8D61-79D8E9D3DE92}"/>
    <cellStyle name="Normal 2 3" xfId="7" xr:uid="{00000000-0005-0000-0000-000007000000}"/>
    <cellStyle name="Normal 2 3 2" xfId="16" xr:uid="{72521C44-B3F8-4D58-8A7D-703D25A30577}"/>
    <cellStyle name="Normal 2 4" xfId="11" xr:uid="{817828EB-84E0-4812-98E1-A416FF3F3888}"/>
    <cellStyle name="Normal 3" xfId="2" xr:uid="{00000000-0005-0000-0000-000002000000}"/>
    <cellStyle name="Normal 3 2" xfId="8" xr:uid="{00000000-0005-0000-0000-000008000000}"/>
    <cellStyle name="Normal 3 2 2" xfId="17" xr:uid="{9EE929D0-8A22-4CFD-9587-60140BFB19AA}"/>
    <cellStyle name="Normal 3 3" xfId="12" xr:uid="{E10C5FCA-D2A8-4BD0-87A9-8E7E47B53E48}"/>
    <cellStyle name="Normal 4" xfId="4" xr:uid="{00000000-0005-0000-0000-000004000000}"/>
    <cellStyle name="Normal 4 2" xfId="14" xr:uid="{0536577C-2756-48F9-8365-8ACFF85FAE3A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C1A514D4-1FAD-4F09-8997-EBCD5705D289}"/>
    <cellStyle name="Normal 5 4" xfId="15" xr:uid="{796EDD49-4B0B-46DB-BDC9-72E7423F4AFC}"/>
    <cellStyle name="Normal 7" xfId="9" xr:uid="{00000000-0005-0000-0000-000009000000}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8"/>
  <sheetViews>
    <sheetView topLeftCell="J1" zoomScale="80" zoomScaleNormal="80" workbookViewId="0">
      <pane ySplit="1" topLeftCell="A2" activePane="bottomLeft" state="frozen"/>
      <selection pane="bottomLeft" activeCell="H42" sqref="H4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5">
      <c r="H41" s="1">
        <f>SUMIF(H1:H40,"&gt;20")</f>
        <v>1473.0000000000002</v>
      </c>
    </row>
    <row r="42" spans="1:24" x14ac:dyDescent="0.35">
      <c r="F42" s="1"/>
      <c r="H42" s="1">
        <f>SUM(H1:H40)</f>
        <v>1540.5000000000002</v>
      </c>
    </row>
    <row r="43" spans="1:24" x14ac:dyDescent="0.35">
      <c r="B43" s="1" t="s">
        <v>40</v>
      </c>
      <c r="C43" s="1" t="e" cm="1">
        <f t="array" ref="C43">VLOOKUP(B43,A:G,G1:G40)</f>
        <v>#REF!</v>
      </c>
      <c r="F43" s="1"/>
    </row>
    <row r="44" spans="1:24" x14ac:dyDescent="0.35">
      <c r="F44" s="1"/>
    </row>
    <row r="45" spans="1:24" x14ac:dyDescent="0.35">
      <c r="F45" s="1"/>
    </row>
    <row r="46" spans="1:24" x14ac:dyDescent="0.35">
      <c r="F46" s="1"/>
    </row>
    <row r="47" spans="1:24" x14ac:dyDescent="0.35">
      <c r="F47" s="1"/>
    </row>
    <row r="48" spans="1:24" x14ac:dyDescent="0.35">
      <c r="F48" s="1"/>
    </row>
  </sheetData>
  <conditionalFormatting sqref="G1:W40">
    <cfRule type="cellIs" dxfId="2" priority="1" operator="equal">
      <formula>-1</formula>
    </cfRule>
    <cfRule type="cellIs" dxfId="1" priority="2" operator="equal">
      <formula>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0" zoomScaleNormal="7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VLOOKUP(A6,Dataset!A:K,7,0)</f>
        <v>2.7</v>
      </c>
      <c r="C6" s="12">
        <f>VLOOKUP(A6,Dataset!A:N,14,0)</f>
        <v>7.6</v>
      </c>
      <c r="D6" s="12">
        <f>_xlfn.XLOOKUP(A6,Dataset!A:A,Dataset!R:R)</f>
        <v>4.2</v>
      </c>
      <c r="E6" s="12">
        <f>_xlfn.XLOOKUP(A6,Dataset!A:A,Dataset!T:T)</f>
        <v>8.9</v>
      </c>
      <c r="F6" s="8">
        <f>_xlfn.XLOOKUP(A6,Dataset!A:A,Dataset!V:V)</f>
        <v>4.2</v>
      </c>
    </row>
    <row r="7" spans="1:7" ht="14.5" x14ac:dyDescent="0.35">
      <c r="A7" s="7" t="s">
        <v>4</v>
      </c>
      <c r="B7" s="12">
        <f>VLOOKUP(A7,Dataset!A:K,7,0)</f>
        <v>2.7</v>
      </c>
      <c r="C7" s="12">
        <f>VLOOKUP(A7,Dataset!A:N,14,0)</f>
        <v>7.6</v>
      </c>
      <c r="D7" s="12">
        <f>_xlfn.XLOOKUP(A7,Dataset!A:A,Dataset!R:R)</f>
        <v>4.2</v>
      </c>
      <c r="E7" s="12">
        <f>_xlfn.XLOOKUP(A7,Dataset!A:A,Dataset!T:T)</f>
        <v>8.9</v>
      </c>
      <c r="F7" s="8">
        <f>_xlfn.XLOOKUP(A7,Dataset!A:A,Dataset!V:V)</f>
        <v>4.2</v>
      </c>
    </row>
    <row r="8" spans="1:7" ht="14.5" x14ac:dyDescent="0.35">
      <c r="A8" s="7" t="s">
        <v>7</v>
      </c>
      <c r="B8" s="12">
        <f>VLOOKUP(A8,Dataset!A:K,7,0)</f>
        <v>3.6</v>
      </c>
      <c r="C8" s="12">
        <f>VLOOKUP(A8,Dataset!A:N,14,0)</f>
        <v>11.1</v>
      </c>
      <c r="D8" s="12">
        <f>_xlfn.XLOOKUP(A8,Dataset!A:A,Dataset!R:R)</f>
        <v>5.8</v>
      </c>
      <c r="E8" s="12">
        <f>_xlfn.XLOOKUP(A8,Dataset!A:A,Dataset!T:T)</f>
        <v>12.2</v>
      </c>
      <c r="F8" s="8">
        <f>_xlfn.XLOOKUP(A8,Dataset!A:A,Dataset!V:V)</f>
        <v>5.8</v>
      </c>
    </row>
    <row r="9" spans="1:7" ht="14.5" x14ac:dyDescent="0.35">
      <c r="A9" s="7" t="s">
        <v>8</v>
      </c>
      <c r="B9" s="12">
        <f>VLOOKUP(A9,Dataset!A:K,7,0)</f>
        <v>4.9000000000000004</v>
      </c>
      <c r="C9" s="12">
        <f>VLOOKUP(A9,Dataset!A:N,14,0)</f>
        <v>13.3</v>
      </c>
      <c r="D9" s="12">
        <f>_xlfn.XLOOKUP(A9,Dataset!A:A,Dataset!R:R)</f>
        <v>8.1</v>
      </c>
      <c r="E9" s="12">
        <f>_xlfn.XLOOKUP(A9,Dataset!A:A,Dataset!T:T)</f>
        <v>17</v>
      </c>
      <c r="F9" s="8">
        <f>_xlfn.XLOOKUP(A9,Dataset!A:A,Dataset!V:V)</f>
        <v>8.1</v>
      </c>
    </row>
    <row r="10" spans="1:7" ht="14.5" x14ac:dyDescent="0.35">
      <c r="A10" s="7" t="s">
        <v>11</v>
      </c>
      <c r="B10" s="12">
        <f>VLOOKUP(A10,Dataset!A:K,7,0)</f>
        <v>9.4</v>
      </c>
      <c r="C10" s="12">
        <f>VLOOKUP(A10,Dataset!A:N,14,0)</f>
        <v>28.3</v>
      </c>
      <c r="D10" s="12">
        <f>_xlfn.XLOOKUP(A10,Dataset!A:A,Dataset!R:R)</f>
        <v>16.100000000000001</v>
      </c>
      <c r="E10" s="12">
        <f>_xlfn.XLOOKUP(A10,Dataset!A:A,Dataset!T:T)</f>
        <v>32.799999999999997</v>
      </c>
      <c r="F10" s="8">
        <f>_xlfn.XLOOKUP(A10,Dataset!A:A,Dataset!V:V)</f>
        <v>16.100000000000001</v>
      </c>
    </row>
    <row r="11" spans="1:7" ht="14.5" x14ac:dyDescent="0.35">
      <c r="A11" s="7" t="s">
        <v>12</v>
      </c>
      <c r="B11" s="12">
        <f>VLOOKUP(A11,Dataset!A:K,7,0)</f>
        <v>11.6</v>
      </c>
      <c r="C11" s="12">
        <f>VLOOKUP(A11,Dataset!A:N,14,0)</f>
        <v>35.200000000000003</v>
      </c>
      <c r="D11" s="12">
        <f>_xlfn.XLOOKUP(A11,Dataset!A:A,Dataset!R:R)</f>
        <v>21.3</v>
      </c>
      <c r="E11" s="12">
        <f>_xlfn.XLOOKUP(A11,Dataset!A:A,Dataset!T:T)</f>
        <v>43</v>
      </c>
      <c r="F11" s="8">
        <f>_xlfn.XLOOKUP(A11,Dataset!A:A,Dataset!V:V)</f>
        <v>21.3</v>
      </c>
    </row>
    <row r="12" spans="1:7" ht="14.5" x14ac:dyDescent="0.35">
      <c r="A12" s="7" t="s">
        <v>14</v>
      </c>
      <c r="B12" s="12">
        <f>VLOOKUP(A12,Dataset!A:K,7,0)</f>
        <v>18.399999999999999</v>
      </c>
      <c r="C12" s="12">
        <f>VLOOKUP(A12,Dataset!A:N,14,0)</f>
        <v>55.6</v>
      </c>
      <c r="D12" s="12">
        <f>_xlfn.XLOOKUP(A12,Dataset!A:A,Dataset!R:R)</f>
        <v>33.799999999999997</v>
      </c>
      <c r="E12" s="12">
        <f>_xlfn.XLOOKUP(A12,Dataset!A:A,Dataset!T:T)</f>
        <v>67.900000000000006</v>
      </c>
      <c r="F12" s="8">
        <f>_xlfn.XLOOKUP(A12,Dataset!A:A,Dataset!V:V)</f>
        <v>33.799999999999997</v>
      </c>
    </row>
    <row r="13" spans="1:7" ht="14.5" x14ac:dyDescent="0.35">
      <c r="A13" s="7" t="s">
        <v>15</v>
      </c>
      <c r="B13" s="12">
        <f>VLOOKUP(A13,Dataset!A:K,7,0)</f>
        <v>0</v>
      </c>
      <c r="C13" s="12">
        <f>VLOOKUP(A13,Dataset!A:N,14,0)</f>
        <v>0</v>
      </c>
      <c r="D13" s="12">
        <f>_xlfn.XLOOKUP(A13,Dataset!A:A,Dataset!R:R)</f>
        <v>0</v>
      </c>
      <c r="E13" s="12">
        <f>_xlfn.XLOOKUP(A13,Dataset!A:A,Dataset!T:T)</f>
        <v>0</v>
      </c>
      <c r="F13" s="8">
        <f>_xlfn.XLOOKUP(A13,Dataset!A:A,Dataset!V:V)</f>
        <v>0</v>
      </c>
    </row>
    <row r="14" spans="1:7" ht="14.5" x14ac:dyDescent="0.35">
      <c r="A14" s="7" t="s">
        <v>16</v>
      </c>
      <c r="B14" s="12">
        <f>VLOOKUP(A14,Dataset!A:K,7,0)</f>
        <v>21.9</v>
      </c>
      <c r="C14" s="12">
        <f>VLOOKUP(A14,Dataset!A:N,14,0)</f>
        <v>61.5</v>
      </c>
      <c r="D14" s="12">
        <f>_xlfn.XLOOKUP(A14,Dataset!A:A,Dataset!R:R)</f>
        <v>40.1</v>
      </c>
      <c r="E14" s="12">
        <f>_xlfn.XLOOKUP(A14,Dataset!A:A,Dataset!T:T)</f>
        <v>76.599999999999994</v>
      </c>
      <c r="F14" s="8">
        <f>_xlfn.XLOOKUP(A14,Dataset!A:A,Dataset!V:V)</f>
        <v>40.1</v>
      </c>
    </row>
    <row r="15" spans="1:7" ht="14.5" x14ac:dyDescent="0.35">
      <c r="A15" s="7" t="s">
        <v>18</v>
      </c>
      <c r="B15" s="12">
        <f>VLOOKUP(A15,Dataset!A:K,7,0)</f>
        <v>26.8</v>
      </c>
      <c r="C15" s="12">
        <f>VLOOKUP(A15,Dataset!A:N,14,0)</f>
        <v>79.599999999999994</v>
      </c>
      <c r="D15" s="12">
        <f>_xlfn.XLOOKUP(A15,Dataset!A:A,Dataset!R:R)</f>
        <v>47.9</v>
      </c>
      <c r="E15" s="12">
        <f>_xlfn.XLOOKUP(A15,Dataset!A:A,Dataset!T:T)</f>
        <v>96.8</v>
      </c>
      <c r="F15" s="8">
        <f>_xlfn.XLOOKUP(A15,Dataset!A:A,Dataset!V:V)</f>
        <v>47.9</v>
      </c>
    </row>
    <row r="16" spans="1:7" ht="14.5" x14ac:dyDescent="0.35">
      <c r="A16" s="7" t="s">
        <v>20</v>
      </c>
      <c r="B16" s="12">
        <f>VLOOKUP(A16,Dataset!A:K,7,0)</f>
        <v>28.5</v>
      </c>
      <c r="C16" s="12">
        <f>VLOOKUP(A16,Dataset!A:N,14,0)</f>
        <v>85.4</v>
      </c>
      <c r="D16" s="12">
        <f>_xlfn.XLOOKUP(A16,Dataset!A:A,Dataset!R:R)</f>
        <v>52.3</v>
      </c>
      <c r="E16" s="12">
        <f>_xlfn.XLOOKUP(A16,Dataset!A:A,Dataset!T:T)</f>
        <v>106.1</v>
      </c>
      <c r="F16" s="8">
        <f>_xlfn.XLOOKUP(A16,Dataset!A:A,Dataset!V:V)</f>
        <v>52.3</v>
      </c>
    </row>
    <row r="17" spans="1:6" ht="14.5" x14ac:dyDescent="0.35">
      <c r="A17" s="7" t="s">
        <v>22</v>
      </c>
      <c r="B17" s="12">
        <f>VLOOKUP(A17,Dataset!A:K,7,0)</f>
        <v>30.7</v>
      </c>
      <c r="C17" s="12">
        <f>VLOOKUP(A17,Dataset!A:N,14,0)</f>
        <v>92.1</v>
      </c>
      <c r="D17" s="12">
        <f>_xlfn.XLOOKUP(A17,Dataset!A:A,Dataset!R:R)</f>
        <v>57</v>
      </c>
      <c r="E17" s="12">
        <f>_xlfn.XLOOKUP(A17,Dataset!A:A,Dataset!T:T)</f>
        <v>115.1</v>
      </c>
      <c r="F17" s="8">
        <f>_xlfn.XLOOKUP(A17,Dataset!A:A,Dataset!V:V)</f>
        <v>57</v>
      </c>
    </row>
    <row r="18" spans="1:6" ht="14.5" x14ac:dyDescent="0.35">
      <c r="A18" s="7" t="s">
        <v>23</v>
      </c>
      <c r="B18" s="12">
        <f>VLOOKUP(A18,Dataset!A:K,7,0)</f>
        <v>33.799999999999997</v>
      </c>
      <c r="C18" s="12">
        <f>VLOOKUP(A18,Dataset!A:N,14,0)</f>
        <v>101.3</v>
      </c>
      <c r="D18" s="12">
        <f>_xlfn.XLOOKUP(A18,Dataset!A:A,Dataset!R:R)</f>
        <v>61.4</v>
      </c>
      <c r="E18" s="12">
        <f>_xlfn.XLOOKUP(A18,Dataset!A:A,Dataset!T:T)</f>
        <v>124.4</v>
      </c>
      <c r="F18" s="8">
        <f>_xlfn.XLOOKUP(A18,Dataset!A:A,Dataset!V:V)</f>
        <v>61.4</v>
      </c>
    </row>
    <row r="19" spans="1:6" ht="14.5" x14ac:dyDescent="0.35">
      <c r="A19" s="7" t="s">
        <v>24</v>
      </c>
      <c r="B19" s="12">
        <f>VLOOKUP(A19,Dataset!A:K,7,0)</f>
        <v>34.700000000000003</v>
      </c>
      <c r="C19" s="12">
        <f>VLOOKUP(A19,Dataset!A:N,14,0)</f>
        <v>106.1</v>
      </c>
      <c r="D19" s="12">
        <f>_xlfn.XLOOKUP(A19,Dataset!A:A,Dataset!R:R)</f>
        <v>63.6</v>
      </c>
      <c r="E19" s="12">
        <f>_xlfn.XLOOKUP(A19,Dataset!A:A,Dataset!T:T)</f>
        <v>128.6</v>
      </c>
      <c r="F19" s="8">
        <f>_xlfn.XLOOKUP(A19,Dataset!A:A,Dataset!V:V)</f>
        <v>63.6</v>
      </c>
    </row>
    <row r="20" spans="1:6" ht="14.5" x14ac:dyDescent="0.35">
      <c r="A20" s="7" t="s">
        <v>28</v>
      </c>
      <c r="B20" s="12">
        <f>VLOOKUP(A20,Dataset!A:K,7,0)</f>
        <v>0</v>
      </c>
      <c r="C20" s="12">
        <f>VLOOKUP(A20,Dataset!A:N,14,0)</f>
        <v>0</v>
      </c>
      <c r="D20" s="12">
        <f>_xlfn.XLOOKUP(A20,Dataset!A:A,Dataset!R:R)</f>
        <v>0</v>
      </c>
      <c r="E20" s="12">
        <f>_xlfn.XLOOKUP(A20,Dataset!A:A,Dataset!T:T)</f>
        <v>0</v>
      </c>
      <c r="F20" s="8">
        <f>_xlfn.XLOOKUP(A20,Dataset!A:A,Dataset!V:V)</f>
        <v>0</v>
      </c>
    </row>
    <row r="21" spans="1:6" ht="14.5" x14ac:dyDescent="0.35">
      <c r="A21" s="7" t="s">
        <v>57</v>
      </c>
      <c r="B21" s="12">
        <f>VLOOKUP(A21,Dataset!A:K,7,0)</f>
        <v>41.3</v>
      </c>
      <c r="C21" s="12">
        <f>VLOOKUP(A21,Dataset!A:N,14,0)</f>
        <v>124.4</v>
      </c>
      <c r="D21" s="12">
        <f>_xlfn.XLOOKUP(A21,Dataset!A:A,Dataset!R:R)</f>
        <v>75</v>
      </c>
      <c r="E21" s="12">
        <f>_xlfn.XLOOKUP(A21,Dataset!A:A,Dataset!T:T)</f>
        <v>151.5</v>
      </c>
      <c r="F21" s="8">
        <f>_xlfn.XLOOKUP(A21,Dataset!A:A,Dataset!V:V)</f>
        <v>75</v>
      </c>
    </row>
    <row r="22" spans="1:6" ht="14.5" x14ac:dyDescent="0.35">
      <c r="A22" s="7" t="s">
        <v>58</v>
      </c>
      <c r="B22" s="12">
        <f>VLOOKUP(A22,Dataset!A:K,7,0)</f>
        <v>-1</v>
      </c>
      <c r="C22" s="12">
        <f>VLOOKUP(A22,Dataset!A:N,14,0)</f>
        <v>-1</v>
      </c>
      <c r="D22" s="12">
        <f>_xlfn.XLOOKUP(A22,Dataset!A:A,Dataset!R:R)</f>
        <v>-1</v>
      </c>
      <c r="E22" s="12">
        <f>_xlfn.XLOOKUP(A22,Dataset!A:A,Dataset!T:T)</f>
        <v>-1</v>
      </c>
      <c r="F22" s="8">
        <f>_xlfn.XLOOKUP(A22,Dataset!A:A,Dataset!V:V)</f>
        <v>-1</v>
      </c>
    </row>
    <row r="23" spans="1:6" ht="14.5" x14ac:dyDescent="0.35">
      <c r="A23" s="7" t="s">
        <v>31</v>
      </c>
      <c r="B23" s="12">
        <f>VLOOKUP(A23,Dataset!A:K,7,0)</f>
        <v>45</v>
      </c>
      <c r="C23" s="12">
        <f>VLOOKUP(A23,Dataset!A:N,14,0)</f>
        <v>133.4</v>
      </c>
      <c r="D23" s="12">
        <f>_xlfn.XLOOKUP(A23,Dataset!A:A,Dataset!R:R)</f>
        <v>79.400000000000006</v>
      </c>
      <c r="E23" s="12">
        <f>_xlfn.XLOOKUP(A23,Dataset!A:A,Dataset!T:T)</f>
        <v>160.9</v>
      </c>
      <c r="F23" s="8">
        <f>_xlfn.XLOOKUP(A23,Dataset!A:A,Dataset!V:V)</f>
        <v>79.400000000000006</v>
      </c>
    </row>
    <row r="24" spans="1:6" ht="14.5" x14ac:dyDescent="0.35">
      <c r="A24" s="7" t="s">
        <v>32</v>
      </c>
      <c r="B24" s="12">
        <f>VLOOKUP(A24,Dataset!A:K,7,0)</f>
        <v>-1</v>
      </c>
      <c r="C24" s="12">
        <f>VLOOKUP(A24,Dataset!A:N,14,0)</f>
        <v>-1</v>
      </c>
      <c r="D24" s="12">
        <f>_xlfn.XLOOKUP(A24,Dataset!A:A,Dataset!R:R)</f>
        <v>-1</v>
      </c>
      <c r="E24" s="12">
        <f>_xlfn.XLOOKUP(A24,Dataset!A:A,Dataset!T:T)</f>
        <v>-1</v>
      </c>
      <c r="F24" s="8">
        <f>_xlfn.XLOOKUP(A24,Dataset!A:A,Dataset!V:V)</f>
        <v>-1</v>
      </c>
    </row>
    <row r="25" spans="1:6" ht="14.5" x14ac:dyDescent="0.35">
      <c r="A25" s="7" t="s">
        <v>34</v>
      </c>
      <c r="B25" s="12">
        <f>VLOOKUP(A25,Dataset!A:K,7,0)</f>
        <v>43.3</v>
      </c>
      <c r="C25" s="12">
        <f>VLOOKUP(A25,Dataset!A:N,14,0)</f>
        <v>128.6</v>
      </c>
      <c r="D25" s="12">
        <f>_xlfn.XLOOKUP(A25,Dataset!A:A,Dataset!R:R)</f>
        <v>79.400000000000006</v>
      </c>
      <c r="E25" s="12">
        <f>_xlfn.XLOOKUP(A25,Dataset!A:A,Dataset!T:T)</f>
        <v>160.9</v>
      </c>
      <c r="F25" s="8">
        <f>_xlfn.XLOOKUP(A25,Dataset!A:A,Dataset!V:V)</f>
        <v>79.400000000000006</v>
      </c>
    </row>
    <row r="26" spans="1:6" ht="14.5" x14ac:dyDescent="0.35">
      <c r="A26" s="7" t="s">
        <v>37</v>
      </c>
      <c r="B26" s="12">
        <f>VLOOKUP(A26,Dataset!A:K,7,0)</f>
        <v>49.1</v>
      </c>
      <c r="C26" s="12">
        <f>VLOOKUP(A26,Dataset!A:N,14,0)</f>
        <v>146.80000000000001</v>
      </c>
      <c r="D26" s="12">
        <f>_xlfn.XLOOKUP(A26,Dataset!A:A,Dataset!R:R)</f>
        <v>90.9</v>
      </c>
      <c r="E26" s="12">
        <f>_xlfn.XLOOKUP(A26,Dataset!A:A,Dataset!T:T)</f>
        <v>183.5</v>
      </c>
      <c r="F26" s="8">
        <f>_xlfn.XLOOKUP(A26,Dataset!A:A,Dataset!V:V)</f>
        <v>90.9</v>
      </c>
    </row>
    <row r="27" spans="1:6" ht="14.5" x14ac:dyDescent="0.35">
      <c r="A27" s="7" t="s">
        <v>39</v>
      </c>
      <c r="B27" s="12">
        <f>VLOOKUP(A27,Dataset!A:K,7,0)</f>
        <v>51.8</v>
      </c>
      <c r="C27" s="12">
        <f>VLOOKUP(A27,Dataset!A:N,14,0)</f>
        <v>156.4</v>
      </c>
      <c r="D27" s="12">
        <f>_xlfn.XLOOKUP(A27,Dataset!A:A,Dataset!R:R)</f>
        <v>93.1</v>
      </c>
      <c r="E27" s="12">
        <f>_xlfn.XLOOKUP(A27,Dataset!A:A,Dataset!T:T)</f>
        <v>188.1</v>
      </c>
      <c r="F27" s="8">
        <f>_xlfn.XLOOKUP(A27,Dataset!A:A,Dataset!V:V)</f>
        <v>93.1</v>
      </c>
    </row>
    <row r="28" spans="1:6" ht="14.5" x14ac:dyDescent="0.35">
      <c r="A28" s="19" t="s">
        <v>82</v>
      </c>
      <c r="B28" s="31">
        <f>MAX(B6:B27)</f>
        <v>51.8</v>
      </c>
      <c r="C28" s="31">
        <f t="shared" ref="C28:F28" si="0">MAX(C6:C27)</f>
        <v>156.4</v>
      </c>
      <c r="D28" s="31">
        <f t="shared" si="0"/>
        <v>93.1</v>
      </c>
      <c r="E28" s="31">
        <f t="shared" si="0"/>
        <v>188.1</v>
      </c>
      <c r="F28" s="31">
        <f t="shared" si="0"/>
        <v>93.1</v>
      </c>
    </row>
    <row r="29" spans="1:6" ht="14.5" x14ac:dyDescent="0.35">
      <c r="A29" s="19" t="s">
        <v>83</v>
      </c>
      <c r="B29" s="31">
        <f>MIN(B6:B27)</f>
        <v>-1</v>
      </c>
      <c r="C29" s="31">
        <f t="shared" ref="C29:F29" si="1">MIN(C6:C27)</f>
        <v>-1</v>
      </c>
      <c r="D29" s="31">
        <f t="shared" si="1"/>
        <v>-1</v>
      </c>
      <c r="E29" s="31">
        <f t="shared" si="1"/>
        <v>-1</v>
      </c>
      <c r="F29" s="31">
        <f t="shared" si="1"/>
        <v>-1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60" zoomScaleNormal="60" workbookViewId="0">
      <selection activeCell="K38" sqref="K38"/>
    </sheetView>
  </sheetViews>
  <sheetFormatPr defaultColWidth="11" defaultRowHeight="14.5" x14ac:dyDescent="0.35"/>
  <cols>
    <col min="1" max="1" width="39.796875" style="1" bestFit="1" customWidth="1"/>
    <col min="2" max="2" width="40.5" style="1" customWidth="1"/>
    <col min="3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153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4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25</v>
      </c>
    </row>
    <row r="17" spans="1:6" x14ac:dyDescent="0.35">
      <c r="A17" s="4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35">
      <c r="A18" s="47" t="s">
        <v>123</v>
      </c>
      <c r="B18" s="4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47" t="s">
        <v>124</v>
      </c>
      <c r="B19" s="4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47" t="s">
        <v>125</v>
      </c>
      <c r="B20" s="4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47" t="s">
        <v>126</v>
      </c>
      <c r="B21" s="4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47" t="s">
        <v>127</v>
      </c>
      <c r="B22" s="4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47" t="s">
        <v>128</v>
      </c>
      <c r="B23" s="4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47" t="s">
        <v>129</v>
      </c>
      <c r="B24" s="4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47" t="s">
        <v>130</v>
      </c>
      <c r="B25" s="4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47" t="s">
        <v>131</v>
      </c>
      <c r="B26" s="4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47" t="s">
        <v>132</v>
      </c>
      <c r="B27" s="4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47" t="s">
        <v>133</v>
      </c>
      <c r="B28" s="4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47" t="s">
        <v>134</v>
      </c>
      <c r="B29" s="4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47" t="s">
        <v>135</v>
      </c>
      <c r="B30" s="4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47" t="s">
        <v>136</v>
      </c>
      <c r="B31" s="4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47" t="s">
        <v>137</v>
      </c>
      <c r="B32" s="4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47" t="s">
        <v>138</v>
      </c>
      <c r="B33" s="4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47" t="s">
        <v>139</v>
      </c>
      <c r="B34" s="4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47" t="s">
        <v>140</v>
      </c>
      <c r="B35" s="4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47" t="s">
        <v>141</v>
      </c>
      <c r="B36" s="4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47" t="s">
        <v>142</v>
      </c>
      <c r="B37" s="4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47" t="s">
        <v>143</v>
      </c>
      <c r="B38" s="4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47" t="s">
        <v>144</v>
      </c>
      <c r="B39" s="4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47" t="s">
        <v>145</v>
      </c>
      <c r="B40" s="4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47" t="s">
        <v>146</v>
      </c>
      <c r="B41" s="4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47" t="s">
        <v>147</v>
      </c>
      <c r="B42" s="4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47" t="s">
        <v>148</v>
      </c>
      <c r="B43" s="4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47" t="s">
        <v>149</v>
      </c>
      <c r="B44" s="4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47" t="s">
        <v>150</v>
      </c>
      <c r="B45" s="4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47" t="s">
        <v>112</v>
      </c>
      <c r="B46" s="4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47" t="s">
        <v>113</v>
      </c>
      <c r="B47" s="4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47" t="s">
        <v>114</v>
      </c>
      <c r="B48" s="4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47" t="s">
        <v>115</v>
      </c>
      <c r="B49" s="4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47" t="s">
        <v>116</v>
      </c>
      <c r="B50" s="4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47" t="s">
        <v>117</v>
      </c>
      <c r="B51" s="4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47" t="s">
        <v>118</v>
      </c>
      <c r="B52" s="4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47" t="s">
        <v>119</v>
      </c>
      <c r="B53" s="4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48" t="s">
        <v>120</v>
      </c>
      <c r="B54" s="48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80" zoomScaleNormal="80" workbookViewId="0">
      <selection activeCell="H6" sqref="H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8.5" x14ac:dyDescent="0.45">
      <c r="A6" s="3" t="s">
        <v>53</v>
      </c>
      <c r="B6" s="43" t="s">
        <v>178</v>
      </c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17">
        <v>200</v>
      </c>
    </row>
    <row r="13" spans="1:3" ht="14.5" x14ac:dyDescent="0.35">
      <c r="A13" s="32">
        <v>44928</v>
      </c>
      <c r="B13" s="17" t="s">
        <v>60</v>
      </c>
      <c r="C13" s="17">
        <v>20</v>
      </c>
    </row>
    <row r="14" spans="1:3" ht="14.5" x14ac:dyDescent="0.35">
      <c r="A14" s="32">
        <v>44929</v>
      </c>
      <c r="B14" s="17" t="s">
        <v>61</v>
      </c>
      <c r="C14" s="17">
        <v>50</v>
      </c>
    </row>
    <row r="15" spans="1:3" ht="14.5" x14ac:dyDescent="0.35">
      <c r="A15" s="32">
        <v>44930</v>
      </c>
      <c r="B15" s="17" t="s">
        <v>62</v>
      </c>
      <c r="C15" s="17">
        <v>20</v>
      </c>
    </row>
    <row r="16" spans="1:3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154</v>
      </c>
      <c r="C17" s="17">
        <v>150</v>
      </c>
    </row>
    <row r="18" spans="1:3" ht="14.5" x14ac:dyDescent="0.35">
      <c r="A18" s="32">
        <v>44933</v>
      </c>
      <c r="B18" s="17" t="s">
        <v>155</v>
      </c>
      <c r="C18" s="17">
        <v>80</v>
      </c>
    </row>
    <row r="19" spans="1:3" ht="14.5" x14ac:dyDescent="0.35">
      <c r="A19" s="32">
        <v>44934</v>
      </c>
      <c r="B19" s="17" t="s">
        <v>156</v>
      </c>
      <c r="C19" s="17">
        <v>20</v>
      </c>
    </row>
    <row r="20" spans="1:3" ht="14.5" x14ac:dyDescent="0.35">
      <c r="A20" s="32">
        <v>44935</v>
      </c>
      <c r="B20" s="17" t="s">
        <v>157</v>
      </c>
      <c r="C20" s="17">
        <v>30</v>
      </c>
    </row>
    <row r="21" spans="1:3" ht="14.5" x14ac:dyDescent="0.35">
      <c r="A21" s="32">
        <v>44936</v>
      </c>
      <c r="B21" s="17" t="s">
        <v>158</v>
      </c>
      <c r="C21" s="17">
        <v>20</v>
      </c>
    </row>
    <row r="22" spans="1:3" ht="14.5" x14ac:dyDescent="0.3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4"/>
  <sheetViews>
    <sheetView tabSelected="1" zoomScale="60" zoomScaleNormal="60" workbookViewId="0">
      <selection activeCell="C6" sqref="C6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  <c r="C4" s="2" t="s">
        <v>179</v>
      </c>
    </row>
    <row r="5" spans="1:14" ht="18.5" x14ac:dyDescent="0.45">
      <c r="A5" s="43" t="s">
        <v>153</v>
      </c>
      <c r="B5" s="1"/>
      <c r="C5" s="2" t="s">
        <v>180</v>
      </c>
    </row>
    <row r="6" spans="1:14" ht="14.5" x14ac:dyDescent="0.35">
      <c r="A6" s="3"/>
      <c r="B6" s="1"/>
    </row>
    <row r="7" spans="1:14" ht="23.5" x14ac:dyDescent="0.55000000000000004">
      <c r="A7" s="18" t="s">
        <v>162</v>
      </c>
      <c r="M7" s="18" t="s">
        <v>163</v>
      </c>
    </row>
    <row r="8" spans="1:14" ht="14.5" x14ac:dyDescent="0.35">
      <c r="A8" s="26"/>
      <c r="B8" s="12">
        <v>10100</v>
      </c>
      <c r="C8" s="12">
        <v>10102</v>
      </c>
      <c r="D8" s="12">
        <v>10104</v>
      </c>
      <c r="E8" s="12">
        <v>10106</v>
      </c>
      <c r="F8" s="12">
        <v>10108</v>
      </c>
      <c r="G8" s="12">
        <v>10110</v>
      </c>
      <c r="H8" s="12">
        <v>10112</v>
      </c>
      <c r="I8" s="12">
        <v>10114</v>
      </c>
      <c r="J8" s="13">
        <v>10116</v>
      </c>
      <c r="M8" s="19" t="s">
        <v>43</v>
      </c>
      <c r="N8" s="19" t="s">
        <v>99</v>
      </c>
    </row>
    <row r="9" spans="1:14" ht="14.5" x14ac:dyDescent="0.35">
      <c r="A9" s="12">
        <v>10100</v>
      </c>
      <c r="B9" s="25">
        <v>-1</v>
      </c>
      <c r="C9" s="25">
        <v>95</v>
      </c>
      <c r="D9" s="25">
        <v>-1</v>
      </c>
      <c r="E9" s="25">
        <v>185</v>
      </c>
      <c r="F9" s="25">
        <v>255</v>
      </c>
      <c r="G9" s="25">
        <v>305</v>
      </c>
      <c r="H9" s="25">
        <v>415</v>
      </c>
      <c r="I9" s="25">
        <v>480</v>
      </c>
      <c r="J9" s="25">
        <v>525</v>
      </c>
      <c r="M9" s="12">
        <v>10100</v>
      </c>
      <c r="N9" s="12" t="s">
        <v>89</v>
      </c>
    </row>
    <row r="10" spans="1:14" ht="14.5" x14ac:dyDescent="0.35">
      <c r="A10" s="12">
        <v>10102</v>
      </c>
      <c r="B10" s="25">
        <v>95</v>
      </c>
      <c r="C10" s="25">
        <v>-1</v>
      </c>
      <c r="D10" s="25">
        <v>-1</v>
      </c>
      <c r="E10" s="25">
        <v>90</v>
      </c>
      <c r="F10" s="25">
        <v>160</v>
      </c>
      <c r="G10" s="25">
        <v>210</v>
      </c>
      <c r="H10" s="25">
        <v>325</v>
      </c>
      <c r="I10" s="25">
        <v>390</v>
      </c>
      <c r="J10" s="25">
        <v>430</v>
      </c>
      <c r="M10" s="12">
        <v>10102</v>
      </c>
      <c r="N10" s="12" t="s">
        <v>90</v>
      </c>
    </row>
    <row r="11" spans="1:14" ht="14.5" x14ac:dyDescent="0.35">
      <c r="A11" s="12">
        <v>10104</v>
      </c>
      <c r="B11" s="25">
        <v>-1</v>
      </c>
      <c r="C11" s="25">
        <v>-1</v>
      </c>
      <c r="D11" s="25">
        <v>-1</v>
      </c>
      <c r="E11" s="25">
        <v>60</v>
      </c>
      <c r="F11" s="25">
        <v>130</v>
      </c>
      <c r="G11" s="25">
        <v>180</v>
      </c>
      <c r="H11" s="25">
        <v>295</v>
      </c>
      <c r="I11" s="25">
        <v>355</v>
      </c>
      <c r="J11" s="25">
        <v>400</v>
      </c>
      <c r="M11" s="12">
        <v>10104</v>
      </c>
      <c r="N11" s="12" t="s">
        <v>91</v>
      </c>
    </row>
    <row r="12" spans="1:14" ht="14.5" x14ac:dyDescent="0.35">
      <c r="A12" s="12">
        <v>10106</v>
      </c>
      <c r="B12" s="25">
        <v>185</v>
      </c>
      <c r="C12" s="25">
        <v>90</v>
      </c>
      <c r="D12" s="25">
        <v>60</v>
      </c>
      <c r="E12" s="25">
        <v>-1</v>
      </c>
      <c r="F12" s="25">
        <v>70</v>
      </c>
      <c r="G12" s="25">
        <v>120</v>
      </c>
      <c r="H12" s="25">
        <v>235</v>
      </c>
      <c r="I12" s="25">
        <v>300</v>
      </c>
      <c r="J12" s="25">
        <v>340</v>
      </c>
      <c r="M12" s="12">
        <v>10106</v>
      </c>
      <c r="N12" s="12" t="s">
        <v>92</v>
      </c>
    </row>
    <row r="13" spans="1:14" ht="14.5" x14ac:dyDescent="0.35">
      <c r="A13" s="12">
        <v>10108</v>
      </c>
      <c r="B13" s="25">
        <v>255</v>
      </c>
      <c r="C13" s="25">
        <v>160</v>
      </c>
      <c r="D13" s="25">
        <v>130</v>
      </c>
      <c r="E13" s="25">
        <v>70</v>
      </c>
      <c r="F13" s="25">
        <v>-1</v>
      </c>
      <c r="G13" s="25">
        <v>50</v>
      </c>
      <c r="H13" s="25">
        <v>165</v>
      </c>
      <c r="I13" s="25">
        <v>230</v>
      </c>
      <c r="J13" s="25">
        <v>270</v>
      </c>
      <c r="M13" s="12">
        <v>10108</v>
      </c>
      <c r="N13" s="12" t="s">
        <v>93</v>
      </c>
    </row>
    <row r="14" spans="1:14" ht="14.5" x14ac:dyDescent="0.35">
      <c r="A14" s="12">
        <v>10110</v>
      </c>
      <c r="B14" s="25">
        <v>305</v>
      </c>
      <c r="C14" s="25">
        <v>210</v>
      </c>
      <c r="D14" s="25">
        <v>180</v>
      </c>
      <c r="E14" s="25">
        <v>120</v>
      </c>
      <c r="F14" s="25">
        <v>50</v>
      </c>
      <c r="G14" s="25">
        <v>-1</v>
      </c>
      <c r="H14" s="25">
        <v>115</v>
      </c>
      <c r="I14" s="25">
        <v>180</v>
      </c>
      <c r="J14" s="25">
        <v>220</v>
      </c>
      <c r="M14" s="12">
        <v>10110</v>
      </c>
      <c r="N14" s="12" t="s">
        <v>94</v>
      </c>
    </row>
    <row r="15" spans="1:14" ht="14.5" x14ac:dyDescent="0.35">
      <c r="A15" s="12">
        <v>10112</v>
      </c>
      <c r="B15" s="25">
        <v>415</v>
      </c>
      <c r="C15" s="25">
        <v>325</v>
      </c>
      <c r="D15" s="25">
        <v>295</v>
      </c>
      <c r="E15" s="25">
        <v>235</v>
      </c>
      <c r="F15" s="25">
        <v>165</v>
      </c>
      <c r="G15" s="25">
        <v>115</v>
      </c>
      <c r="H15" s="25">
        <v>-1</v>
      </c>
      <c r="I15" s="25">
        <v>65</v>
      </c>
      <c r="J15" s="25">
        <v>105</v>
      </c>
      <c r="M15" s="12">
        <v>10112</v>
      </c>
      <c r="N15" s="12" t="s">
        <v>95</v>
      </c>
    </row>
    <row r="16" spans="1:14" ht="14.5" x14ac:dyDescent="0.35">
      <c r="A16" s="12">
        <v>10114</v>
      </c>
      <c r="B16" s="25">
        <v>480</v>
      </c>
      <c r="C16" s="25">
        <v>390</v>
      </c>
      <c r="D16" s="25">
        <v>355</v>
      </c>
      <c r="E16" s="25">
        <v>300</v>
      </c>
      <c r="F16" s="25">
        <v>230</v>
      </c>
      <c r="G16" s="25">
        <v>180</v>
      </c>
      <c r="H16" s="25">
        <v>65</v>
      </c>
      <c r="I16" s="25">
        <v>-1</v>
      </c>
      <c r="J16" s="25">
        <v>40</v>
      </c>
      <c r="M16" s="12">
        <v>10114</v>
      </c>
      <c r="N16" s="12" t="s">
        <v>96</v>
      </c>
    </row>
    <row r="17" spans="1:14" ht="14.5" x14ac:dyDescent="0.35">
      <c r="A17" s="13">
        <v>10116</v>
      </c>
      <c r="B17" s="25">
        <v>525</v>
      </c>
      <c r="C17" s="25">
        <v>430</v>
      </c>
      <c r="D17" s="25">
        <v>400</v>
      </c>
      <c r="E17" s="25">
        <v>340</v>
      </c>
      <c r="F17" s="25">
        <v>270</v>
      </c>
      <c r="G17" s="25">
        <v>220</v>
      </c>
      <c r="H17" s="25">
        <v>105</v>
      </c>
      <c r="I17" s="25">
        <v>40</v>
      </c>
      <c r="J17" s="25">
        <v>-1</v>
      </c>
      <c r="M17" s="13">
        <v>10116</v>
      </c>
      <c r="N17" s="13" t="s">
        <v>97</v>
      </c>
    </row>
    <row r="20" spans="1:14" ht="23.5" x14ac:dyDescent="0.55000000000000004">
      <c r="A20" s="18" t="s">
        <v>168</v>
      </c>
    </row>
    <row r="21" spans="1:14" ht="14.5" x14ac:dyDescent="0.35">
      <c r="A21" s="14" t="s">
        <v>100</v>
      </c>
      <c r="B21" s="17" t="s">
        <v>101</v>
      </c>
      <c r="C21" s="16" t="s">
        <v>102</v>
      </c>
    </row>
    <row r="22" spans="1:14" ht="14.5" x14ac:dyDescent="0.35">
      <c r="A22" s="7">
        <v>10100</v>
      </c>
      <c r="B22" s="12">
        <v>10102</v>
      </c>
      <c r="C22" s="44" t="str">
        <f>C4</f>
        <v>INDEX($B$9:$J$17,MATCH(A22,$A$9:$A$17,0),MATCH(B22,$B$8:$J$8,0))</v>
      </c>
    </row>
    <row r="23" spans="1:14" ht="14.5" x14ac:dyDescent="0.35">
      <c r="A23" s="7">
        <v>10100</v>
      </c>
      <c r="B23" s="12">
        <v>10104</v>
      </c>
      <c r="C23" s="44">
        <f t="shared" ref="C23:C34" si="0">INDEX($B$9:$J$17,MATCH(A23,$A$9:$A$17,0),MATCH(B23,$B$8:$J$8,0))</f>
        <v>-1</v>
      </c>
    </row>
    <row r="24" spans="1:14" ht="14.5" x14ac:dyDescent="0.35">
      <c r="A24" s="7">
        <v>10108</v>
      </c>
      <c r="B24" s="12">
        <v>10102</v>
      </c>
      <c r="C24" s="44">
        <f t="shared" si="0"/>
        <v>160</v>
      </c>
    </row>
    <row r="25" spans="1:14" ht="14.5" x14ac:dyDescent="0.35">
      <c r="A25" s="7">
        <v>10100</v>
      </c>
      <c r="B25" s="12">
        <v>10106</v>
      </c>
      <c r="C25" s="44">
        <f t="shared" si="0"/>
        <v>185</v>
      </c>
    </row>
    <row r="26" spans="1:14" ht="14.5" x14ac:dyDescent="0.35">
      <c r="A26" s="7">
        <v>10108</v>
      </c>
      <c r="B26" s="12">
        <v>10110</v>
      </c>
      <c r="C26" s="44">
        <f t="shared" si="0"/>
        <v>50</v>
      </c>
    </row>
    <row r="27" spans="1:14" ht="14.5" x14ac:dyDescent="0.35">
      <c r="A27" s="7">
        <v>10102</v>
      </c>
      <c r="B27" s="12">
        <v>10104</v>
      </c>
      <c r="C27" s="44">
        <f t="shared" si="0"/>
        <v>-1</v>
      </c>
    </row>
    <row r="28" spans="1:14" ht="14.5" x14ac:dyDescent="0.35">
      <c r="A28" s="7">
        <v>10106</v>
      </c>
      <c r="B28" s="12">
        <v>10108</v>
      </c>
      <c r="C28" s="44">
        <f t="shared" si="0"/>
        <v>70</v>
      </c>
    </row>
    <row r="29" spans="1:14" ht="14.5" x14ac:dyDescent="0.35">
      <c r="A29" s="7">
        <v>10102</v>
      </c>
      <c r="B29" s="12">
        <v>10106</v>
      </c>
      <c r="C29" s="44">
        <f t="shared" si="0"/>
        <v>90</v>
      </c>
    </row>
    <row r="30" spans="1:14" ht="14.5" x14ac:dyDescent="0.35">
      <c r="A30" s="7">
        <v>10110</v>
      </c>
      <c r="B30" s="12">
        <v>10114</v>
      </c>
      <c r="C30" s="44">
        <f t="shared" si="0"/>
        <v>180</v>
      </c>
    </row>
    <row r="31" spans="1:14" ht="14.5" x14ac:dyDescent="0.35">
      <c r="A31" s="7">
        <v>10104</v>
      </c>
      <c r="B31" s="12">
        <v>10106</v>
      </c>
      <c r="C31" s="44">
        <f t="shared" si="0"/>
        <v>60</v>
      </c>
    </row>
    <row r="32" spans="1:14" ht="14.5" x14ac:dyDescent="0.35">
      <c r="A32" s="7">
        <v>10110</v>
      </c>
      <c r="B32" s="12">
        <v>10112</v>
      </c>
      <c r="C32" s="44">
        <f t="shared" si="0"/>
        <v>115</v>
      </c>
    </row>
    <row r="33" spans="1:3" ht="14.5" x14ac:dyDescent="0.35">
      <c r="A33" s="7">
        <v>10100</v>
      </c>
      <c r="B33" s="12">
        <v>10114</v>
      </c>
      <c r="C33" s="44">
        <f t="shared" si="0"/>
        <v>480</v>
      </c>
    </row>
    <row r="34" spans="1:3" ht="14.5" x14ac:dyDescent="0.35">
      <c r="A34" s="9">
        <v>10112</v>
      </c>
      <c r="B34" s="13">
        <v>10116</v>
      </c>
      <c r="C34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Sehar Khan</cp:lastModifiedBy>
  <dcterms:created xsi:type="dcterms:W3CDTF">2015-02-10T17:33:11Z</dcterms:created>
  <dcterms:modified xsi:type="dcterms:W3CDTF">2023-12-11T18:06:05Z</dcterms:modified>
</cp:coreProperties>
</file>